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1E\EXCELCNV\7c15e460-63bf-4d30-928a-d065eba3b79f\"/>
    </mc:Choice>
  </mc:AlternateContent>
  <xr:revisionPtr revIDLastSave="0" documentId="8_{D5409CDA-B51B-476F-8C02-B6FC257D55A2}" xr6:coauthVersionLast="47" xr6:coauthVersionMax="47" xr10:uidLastSave="{00000000-0000-0000-0000-000000000000}"/>
  <bookViews>
    <workbookView xWindow="-60" yWindow="-60" windowWidth="15480" windowHeight="11640" firstSheet="1" activeTab="2" xr2:uid="{82D5611E-E1AA-4BB1-A196-56E59C424792}"/>
  </bookViews>
  <sheets>
    <sheet name="HR_Data" sheetId="1" r:id="rId1"/>
    <sheet name="HR_Analysis" sheetId="2" r:id="rId2"/>
    <sheet name="HR 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3" l="1"/>
  <c r="B10" i="3"/>
  <c r="L6" i="3"/>
  <c r="B6" i="3"/>
  <c r="G30" i="2"/>
  <c r="G31" i="2"/>
  <c r="G29" i="2"/>
  <c r="F31" i="2"/>
  <c r="F30" i="2"/>
  <c r="F29" i="2"/>
  <c r="E31" i="2"/>
  <c r="E30" i="2"/>
  <c r="E29" i="2"/>
  <c r="M15" i="2"/>
  <c r="M16" i="2"/>
  <c r="M17" i="2"/>
  <c r="M18" i="2"/>
  <c r="M19" i="2"/>
  <c r="M20" i="2"/>
  <c r="M21" i="2"/>
  <c r="M22" i="2"/>
  <c r="M14" i="2"/>
  <c r="L22" i="2"/>
  <c r="L20" i="2"/>
  <c r="L16" i="2"/>
  <c r="L17" i="2"/>
  <c r="L18" i="2"/>
  <c r="L19" i="2"/>
  <c r="L21" i="2"/>
  <c r="L15" i="2"/>
  <c r="L14" i="2"/>
  <c r="L23" i="2" s="1"/>
  <c r="F18" i="2"/>
  <c r="E18" i="2"/>
  <c r="F17" i="2"/>
  <c r="F16" i="2"/>
  <c r="F15" i="2"/>
  <c r="F14" i="2"/>
  <c r="E14" i="2"/>
  <c r="E17" i="2"/>
  <c r="E16" i="2"/>
  <c r="E15" i="2"/>
  <c r="E19" i="2"/>
  <c r="M8" i="2"/>
  <c r="M7" i="2"/>
  <c r="M6" i="2"/>
  <c r="L6" i="2"/>
  <c r="L8" i="2"/>
  <c r="L7" i="2"/>
  <c r="G7" i="2"/>
  <c r="G6" i="2"/>
  <c r="G8" i="2" s="1"/>
  <c r="E7" i="2"/>
  <c r="E6" i="2"/>
  <c r="E8" i="2" s="1"/>
  <c r="B15" i="2"/>
  <c r="B13" i="2"/>
  <c r="B7" i="2"/>
  <c r="B5" i="2"/>
  <c r="B11" i="2" s="1"/>
  <c r="H8" i="2" l="1"/>
  <c r="N14" i="2"/>
  <c r="M23" i="2"/>
  <c r="N23" i="2" s="1"/>
  <c r="N22" i="2"/>
  <c r="N21" i="2"/>
  <c r="N20" i="2"/>
  <c r="N19" i="2"/>
  <c r="N18" i="2"/>
  <c r="N17" i="2"/>
  <c r="N16" i="2"/>
  <c r="N15" i="2"/>
  <c r="G14" i="2"/>
  <c r="F19" i="2"/>
  <c r="G19" i="2" s="1"/>
  <c r="G15" i="2"/>
  <c r="G16" i="2"/>
  <c r="G17" i="2"/>
  <c r="G18" i="2"/>
  <c r="H6" i="2"/>
  <c r="H7" i="2"/>
  <c r="N6" i="2"/>
  <c r="N7" i="2"/>
  <c r="N8" i="2"/>
  <c r="B9" i="2"/>
  <c r="F6" i="2"/>
  <c r="F7" i="2"/>
  <c r="F8" i="2" l="1"/>
</calcChain>
</file>

<file path=xl/sharedStrings.xml><?xml version="1.0" encoding="utf-8"?>
<sst xmlns="http://schemas.openxmlformats.org/spreadsheetml/2006/main" count="13329" uniqueCount="88">
  <si>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</si>
  <si>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</si>
  <si>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</si>
  <si>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</si>
  <si>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</si>
  <si>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</si>
  <si>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</si>
  <si>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</si>
  <si>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</si>
  <si>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</si>
  <si>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</si>
  <si>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</si>
  <si>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</si>
  <si>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</si>
  <si>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</si>
  <si>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</si>
  <si>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</si>
  <si>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</si>
  <si>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</si>
  <si>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</si>
  <si>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</si>
  <si>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</si>
  <si>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</si>
  <si>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</si>
  <si>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</si>
  <si>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</si>
  <si>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</si>
  <si>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</si>
  <si>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</si>
  <si>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</si>
  <si>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</si>
  <si>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</si>
  <si>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</si>
  <si>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</si>
  <si>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</si>
  <si>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</si>
  <si>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</si>
  <si>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</si>
  <si>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</si>
  <si>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</si>
  <si>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</si>
  <si>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</si>
  <si>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</si>
  <si>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</si>
  <si>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</si>
  <si>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</si>
  <si>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</si>
  <si>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</si>
  <si>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</si>
  <si>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</si>
  <si>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</si>
  <si>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</si>
  <si>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</si>
  <si>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</si>
  <si>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</si>
  <si>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</si>
  <si>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</si>
  <si>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</si>
  <si>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</si>
  <si>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</si>
  <si>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</si>
  <si>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</si>
  <si>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ANALYTICS DASHBOARD</t>
  </si>
  <si>
    <t>Attrition Rate By Gender</t>
  </si>
  <si>
    <t>Attrition Rate by Department</t>
  </si>
  <si>
    <t>Total Employees</t>
  </si>
  <si>
    <t>Employee count</t>
  </si>
  <si>
    <t>percentage</t>
  </si>
  <si>
    <t>Employees Left</t>
  </si>
  <si>
    <t>Attrition Rate</t>
  </si>
  <si>
    <t>Employee Count</t>
  </si>
  <si>
    <t>Total</t>
  </si>
  <si>
    <t>Active Employees</t>
  </si>
  <si>
    <t>Attrition Rate By Age Group</t>
  </si>
  <si>
    <t>Attrition Rate By Job Role</t>
  </si>
  <si>
    <t>Average Employee Age</t>
  </si>
  <si>
    <t>Age Group</t>
  </si>
  <si>
    <t>Employee Left</t>
  </si>
  <si>
    <t>Job Role</t>
  </si>
  <si>
    <t>Under 25</t>
  </si>
  <si>
    <t>Average Monthly Income</t>
  </si>
  <si>
    <t>25 - 34</t>
  </si>
  <si>
    <t>35 - 44</t>
  </si>
  <si>
    <t>45 - 54</t>
  </si>
  <si>
    <t>55 and Above</t>
  </si>
  <si>
    <t>Attrition Rate by Over Time</t>
  </si>
  <si>
    <t>Over Time</t>
  </si>
  <si>
    <t>EMPLOYEE ATTRITION AND WORKFORCE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</si>
</sst>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8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8"/>
      <color theme="9" tint="-0.499984740745262"/>
      <name val="Calibri"/>
      <family val="2"/>
      <scheme val="minor"/>
    </font>
    <font>
      <i/>
      <sz val="18"/>
      <color theme="7" tint="-0.499984740745262"/>
      <name val="Calibri"/>
      <family val="2"/>
      <scheme val="minor"/>
    </font>
    <font>
      <i/>
      <sz val="18"/>
      <color rgb="FFC00000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8"/>
      <color theme="0"/>
      <name val="Calibri"/>
      <family val="2"/>
      <scheme val="minor"/>
    </font>
    <font>
      <b/>
      <i/>
      <sz val="18"/>
      <color theme="4"/>
      <name val="Calibri"/>
      <family val="2"/>
      <scheme val="minor"/>
    </font>
    <font>
      <b/>
      <i/>
      <sz val="18"/>
      <color theme="9" tint="-0.499984740745262"/>
      <name val="Calibri"/>
      <family val="2"/>
      <scheme val="minor"/>
    </font>
    <font>
      <b/>
      <i/>
      <sz val="18"/>
      <color rgb="FFC00000"/>
      <name val="Calibri"/>
      <family val="2"/>
      <scheme val="minor"/>
    </font>
    <font>
      <b/>
      <i/>
      <sz val="18"/>
      <color theme="7" tint="-0.49998474074526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CD4D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0" borderId="10" xfId="0" applyBorder="1"/>
    <xf numFmtId="10" fontId="0" fillId="0" borderId="10" xfId="0" applyNumberFormat="1" applyBorder="1"/>
    <xf numFmtId="2" fontId="0" fillId="0" borderId="10" xfId="0" applyNumberFormat="1" applyBorder="1"/>
    <xf numFmtId="0" fontId="16" fillId="0" borderId="10" xfId="0" applyFont="1" applyBorder="1"/>
    <xf numFmtId="0" fontId="16" fillId="0" borderId="11" xfId="0" applyFont="1" applyBorder="1"/>
    <xf numFmtId="10" fontId="0" fillId="0" borderId="11" xfId="0" applyNumberFormat="1" applyBorder="1"/>
    <xf numFmtId="0" fontId="0" fillId="0" borderId="11" xfId="0" applyBorder="1"/>
    <xf numFmtId="0" fontId="16" fillId="0" borderId="0" xfId="0" applyFont="1" applyBorder="1"/>
    <xf numFmtId="0" fontId="0" fillId="0" borderId="12" xfId="0" applyBorder="1"/>
    <xf numFmtId="10" fontId="0" fillId="0" borderId="13" xfId="0" applyNumberFormat="1" applyBorder="1"/>
    <xf numFmtId="0" fontId="0" fillId="0" borderId="13" xfId="0" applyBorder="1"/>
    <xf numFmtId="10" fontId="0" fillId="0" borderId="12" xfId="0" applyNumberFormat="1" applyBorder="1"/>
    <xf numFmtId="0" fontId="16" fillId="0" borderId="10" xfId="0" applyFont="1" applyBorder="1" applyAlignment="1">
      <alignment horizontal="center"/>
    </xf>
    <xf numFmtId="0" fontId="0" fillId="0" borderId="10" xfId="0" applyFont="1" applyBorder="1"/>
    <xf numFmtId="0" fontId="0" fillId="0" borderId="12" xfId="0" applyFont="1" applyBorder="1"/>
    <xf numFmtId="0" fontId="0" fillId="0" borderId="0" xfId="0" applyBorder="1"/>
    <xf numFmtId="0" fontId="19" fillId="0" borderId="0" xfId="0" applyFont="1"/>
    <xf numFmtId="0" fontId="18" fillId="34" borderId="20" xfId="0" applyFont="1" applyFill="1" applyBorder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20" fillId="35" borderId="20" xfId="0" applyFont="1" applyFill="1" applyBorder="1" applyAlignment="1">
      <alignment horizontal="center"/>
    </xf>
    <xf numFmtId="0" fontId="20" fillId="35" borderId="0" xfId="0" applyFont="1" applyFill="1" applyBorder="1" applyAlignment="1">
      <alignment horizontal="center"/>
    </xf>
    <xf numFmtId="0" fontId="21" fillId="36" borderId="20" xfId="0" applyFont="1" applyFill="1" applyBorder="1" applyAlignment="1">
      <alignment horizontal="center"/>
    </xf>
    <xf numFmtId="0" fontId="21" fillId="36" borderId="0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  <xf numFmtId="0" fontId="23" fillId="33" borderId="15" xfId="0" applyFont="1" applyFill="1" applyBorder="1" applyAlignment="1">
      <alignment horizontal="center"/>
    </xf>
    <xf numFmtId="0" fontId="23" fillId="33" borderId="16" xfId="0" applyFont="1" applyFill="1" applyBorder="1" applyAlignment="1">
      <alignment horizontal="center"/>
    </xf>
    <xf numFmtId="0" fontId="24" fillId="33" borderId="17" xfId="0" applyFont="1" applyFill="1" applyBorder="1" applyAlignment="1">
      <alignment horizontal="center"/>
    </xf>
    <xf numFmtId="0" fontId="24" fillId="33" borderId="18" xfId="0" applyFont="1" applyFill="1" applyBorder="1" applyAlignment="1">
      <alignment horizontal="center"/>
    </xf>
    <xf numFmtId="0" fontId="24" fillId="33" borderId="19" xfId="0" applyFont="1" applyFill="1" applyBorder="1" applyAlignment="1">
      <alignment horizontal="center"/>
    </xf>
    <xf numFmtId="10" fontId="22" fillId="37" borderId="20" xfId="0" applyNumberFormat="1" applyFont="1" applyFill="1" applyBorder="1" applyAlignment="1">
      <alignment horizontal="center"/>
    </xf>
    <xf numFmtId="10" fontId="22" fillId="37" borderId="0" xfId="0" applyNumberFormat="1" applyFont="1" applyFill="1" applyBorder="1" applyAlignment="1">
      <alignment horizontal="center"/>
    </xf>
    <xf numFmtId="0" fontId="25" fillId="34" borderId="14" xfId="0" applyFont="1" applyFill="1" applyBorder="1" applyAlignment="1">
      <alignment horizontal="center"/>
    </xf>
    <xf numFmtId="0" fontId="25" fillId="34" borderId="15" xfId="0" applyFont="1" applyFill="1" applyBorder="1" applyAlignment="1">
      <alignment horizontal="center"/>
    </xf>
    <xf numFmtId="0" fontId="25" fillId="34" borderId="16" xfId="0" applyFont="1" applyFill="1" applyBorder="1" applyAlignment="1">
      <alignment horizontal="center"/>
    </xf>
    <xf numFmtId="0" fontId="18" fillId="34" borderId="17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9" xfId="0" applyFont="1" applyFill="1" applyBorder="1" applyAlignment="1">
      <alignment horizontal="center"/>
    </xf>
    <xf numFmtId="0" fontId="26" fillId="35" borderId="14" xfId="0" applyFont="1" applyFill="1" applyBorder="1" applyAlignment="1">
      <alignment horizontal="center"/>
    </xf>
    <xf numFmtId="0" fontId="26" fillId="35" borderId="15" xfId="0" applyFont="1" applyFill="1" applyBorder="1" applyAlignment="1">
      <alignment horizontal="center"/>
    </xf>
    <xf numFmtId="0" fontId="26" fillId="35" borderId="16" xfId="0" applyFont="1" applyFill="1" applyBorder="1" applyAlignment="1">
      <alignment horizontal="center"/>
    </xf>
    <xf numFmtId="0" fontId="20" fillId="35" borderId="17" xfId="0" applyFont="1" applyFill="1" applyBorder="1" applyAlignment="1">
      <alignment horizontal="center"/>
    </xf>
    <xf numFmtId="0" fontId="20" fillId="35" borderId="18" xfId="0" applyFont="1" applyFill="1" applyBorder="1" applyAlignment="1">
      <alignment horizontal="center"/>
    </xf>
    <xf numFmtId="0" fontId="20" fillId="35" borderId="19" xfId="0" applyFont="1" applyFill="1" applyBorder="1" applyAlignment="1">
      <alignment horizontal="center"/>
    </xf>
    <xf numFmtId="0" fontId="27" fillId="37" borderId="14" xfId="0" applyFont="1" applyFill="1" applyBorder="1" applyAlignment="1">
      <alignment horizontal="center"/>
    </xf>
    <xf numFmtId="0" fontId="27" fillId="37" borderId="15" xfId="0" applyFont="1" applyFill="1" applyBorder="1" applyAlignment="1">
      <alignment horizontal="center"/>
    </xf>
    <xf numFmtId="0" fontId="27" fillId="37" borderId="16" xfId="0" applyFont="1" applyFill="1" applyBorder="1" applyAlignment="1">
      <alignment horizontal="center"/>
    </xf>
    <xf numFmtId="10" fontId="22" fillId="37" borderId="17" xfId="0" applyNumberFormat="1" applyFont="1" applyFill="1" applyBorder="1" applyAlignment="1">
      <alignment horizontal="center"/>
    </xf>
    <xf numFmtId="10" fontId="22" fillId="37" borderId="18" xfId="0" applyNumberFormat="1" applyFont="1" applyFill="1" applyBorder="1" applyAlignment="1">
      <alignment horizontal="center"/>
    </xf>
    <xf numFmtId="10" fontId="22" fillId="37" borderId="19" xfId="0" applyNumberFormat="1" applyFont="1" applyFill="1" applyBorder="1" applyAlignment="1">
      <alignment horizontal="center"/>
    </xf>
    <xf numFmtId="0" fontId="28" fillId="36" borderId="14" xfId="0" applyFont="1" applyFill="1" applyBorder="1" applyAlignment="1">
      <alignment horizontal="center"/>
    </xf>
    <xf numFmtId="0" fontId="28" fillId="36" borderId="15" xfId="0" applyFont="1" applyFill="1" applyBorder="1" applyAlignment="1">
      <alignment horizontal="center"/>
    </xf>
    <xf numFmtId="0" fontId="28" fillId="36" borderId="16" xfId="0" applyFont="1" applyFill="1" applyBorder="1" applyAlignment="1">
      <alignment horizontal="center"/>
    </xf>
    <xf numFmtId="0" fontId="21" fillId="36" borderId="17" xfId="0" applyFont="1" applyFill="1" applyBorder="1" applyAlignment="1">
      <alignment horizontal="center"/>
    </xf>
    <xf numFmtId="0" fontId="21" fillId="36" borderId="18" xfId="0" applyFont="1" applyFill="1" applyBorder="1" applyAlignment="1">
      <alignment horizontal="center"/>
    </xf>
    <xf numFmtId="0" fontId="21" fillId="36" borderId="19" xfId="0" applyFont="1" applyFill="1" applyBorder="1" applyAlignment="1">
      <alignment horizontal="center"/>
    </xf>
    <xf numFmtId="0" fontId="18" fillId="34" borderId="21" xfId="0" applyFont="1" applyFill="1" applyBorder="1" applyAlignment="1">
      <alignment horizontal="center"/>
    </xf>
    <xf numFmtId="0" fontId="20" fillId="35" borderId="21" xfId="0" applyFont="1" applyFill="1" applyBorder="1" applyAlignment="1">
      <alignment horizontal="center"/>
    </xf>
    <xf numFmtId="0" fontId="21" fillId="36" borderId="21" xfId="0" applyFont="1" applyFill="1" applyBorder="1" applyAlignment="1">
      <alignment horizontal="center"/>
    </xf>
    <xf numFmtId="10" fontId="22" fillId="37" borderId="21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CD4D4"/>
      <color rgb="FFF7C1C1"/>
      <color rgb="FFF7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Left by Department.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HR_Analysis!$K$6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HR_Analysis!$L$5:$N$5</c:f>
              <c:strCache>
                <c:ptCount val="3"/>
                <c:pt idx="0">
                  <c:v>Employee Count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HR_Analysis!$L$6:$N$6</c:f>
              <c:numCache>
                <c:formatCode>General</c:formatCode>
                <c:ptCount val="3"/>
                <c:pt idx="0">
                  <c:v>63</c:v>
                </c:pt>
                <c:pt idx="1">
                  <c:v>12</c:v>
                </c:pt>
                <c:pt idx="2" formatCode="0.00%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2-4346-85B1-41CAE36A92F2}"/>
            </c:ext>
          </c:extLst>
        </c:ser>
        <c:ser>
          <c:idx val="1"/>
          <c:order val="1"/>
          <c:tx>
            <c:strRef>
              <c:f>HR_Analysis!$K$7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HR_Analysis!$L$5:$N$5</c:f>
              <c:strCache>
                <c:ptCount val="3"/>
                <c:pt idx="0">
                  <c:v>Employee Count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HR_Analysis!$L$7:$N$7</c:f>
              <c:numCache>
                <c:formatCode>General</c:formatCode>
                <c:ptCount val="3"/>
                <c:pt idx="0">
                  <c:v>961</c:v>
                </c:pt>
                <c:pt idx="1">
                  <c:v>133</c:v>
                </c:pt>
                <c:pt idx="2" formatCode="0.00%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2-4346-85B1-41CAE36A92F2}"/>
            </c:ext>
          </c:extLst>
        </c:ser>
        <c:ser>
          <c:idx val="2"/>
          <c:order val="2"/>
          <c:tx>
            <c:strRef>
              <c:f>HR_Analysis!$K$8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HR_Analysis!$L$5:$N$5</c:f>
              <c:strCache>
                <c:ptCount val="3"/>
                <c:pt idx="0">
                  <c:v>Employee Count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HR_Analysis!$L$8:$N$8</c:f>
              <c:numCache>
                <c:formatCode>General</c:formatCode>
                <c:ptCount val="3"/>
                <c:pt idx="0">
                  <c:v>446</c:v>
                </c:pt>
                <c:pt idx="1">
                  <c:v>92</c:v>
                </c:pt>
                <c:pt idx="2" formatCode="0.00%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2-4346-85B1-41CAE36A9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248775"/>
        <c:axId val="2111960072"/>
      </c:barChart>
      <c:catAx>
        <c:axId val="89248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60072"/>
        <c:crosses val="autoZero"/>
        <c:auto val="1"/>
        <c:lblAlgn val="ctr"/>
        <c:lblOffset val="100"/>
        <c:noMultiLvlLbl val="0"/>
      </c:catAx>
      <c:valAx>
        <c:axId val="211196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48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HR_Analysis!$E$13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HR_Analysis!$D$14:$D$19</c:f>
              <c:strCache>
                <c:ptCount val="6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55 and Above</c:v>
                </c:pt>
                <c:pt idx="5">
                  <c:v>Total</c:v>
                </c:pt>
              </c:strCache>
            </c:strRef>
          </c:cat>
          <c:val>
            <c:numRef>
              <c:f>HR_Analysis!$E$14:$E$19</c:f>
              <c:numCache>
                <c:formatCode>General</c:formatCode>
                <c:ptCount val="6"/>
                <c:pt idx="0">
                  <c:v>97</c:v>
                </c:pt>
                <c:pt idx="1">
                  <c:v>554</c:v>
                </c:pt>
                <c:pt idx="2">
                  <c:v>505</c:v>
                </c:pt>
                <c:pt idx="3">
                  <c:v>245</c:v>
                </c:pt>
                <c:pt idx="4">
                  <c:v>69</c:v>
                </c:pt>
                <c:pt idx="5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A-4ABE-92AC-BF8F1CE5384B}"/>
            </c:ext>
          </c:extLst>
        </c:ser>
        <c:ser>
          <c:idx val="1"/>
          <c:order val="1"/>
          <c:tx>
            <c:strRef>
              <c:f>HR_Analysis!$F$13</c:f>
              <c:strCache>
                <c:ptCount val="1"/>
                <c:pt idx="0">
                  <c:v>Employee 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HR_Analysis!$D$14:$D$19</c:f>
              <c:strCache>
                <c:ptCount val="6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55 and Above</c:v>
                </c:pt>
                <c:pt idx="5">
                  <c:v>Total</c:v>
                </c:pt>
              </c:strCache>
            </c:strRef>
          </c:cat>
          <c:val>
            <c:numRef>
              <c:f>HR_Analysis!$F$14:$F$19</c:f>
              <c:numCache>
                <c:formatCode>General</c:formatCode>
                <c:ptCount val="6"/>
                <c:pt idx="0">
                  <c:v>38</c:v>
                </c:pt>
                <c:pt idx="1">
                  <c:v>112</c:v>
                </c:pt>
                <c:pt idx="2">
                  <c:v>51</c:v>
                </c:pt>
                <c:pt idx="3">
                  <c:v>25</c:v>
                </c:pt>
                <c:pt idx="4">
                  <c:v>11</c:v>
                </c:pt>
                <c:pt idx="5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A-4ABE-92AC-BF8F1CE5384B}"/>
            </c:ext>
          </c:extLst>
        </c:ser>
        <c:ser>
          <c:idx val="2"/>
          <c:order val="2"/>
          <c:tx>
            <c:strRef>
              <c:f>HR_Analysis!$G$13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HR_Analysis!$D$14:$D$19</c:f>
              <c:strCache>
                <c:ptCount val="6"/>
                <c:pt idx="0">
                  <c:v>Under 25</c:v>
                </c:pt>
                <c:pt idx="1">
                  <c:v>25 - 34</c:v>
                </c:pt>
                <c:pt idx="2">
                  <c:v>35 - 44</c:v>
                </c:pt>
                <c:pt idx="3">
                  <c:v>45 - 54</c:v>
                </c:pt>
                <c:pt idx="4">
                  <c:v>55 and Above</c:v>
                </c:pt>
                <c:pt idx="5">
                  <c:v>Total</c:v>
                </c:pt>
              </c:strCache>
            </c:strRef>
          </c:cat>
          <c:val>
            <c:numRef>
              <c:f>HR_Analysis!$G$14:$G$19</c:f>
              <c:numCache>
                <c:formatCode>0.00%</c:formatCode>
                <c:ptCount val="6"/>
                <c:pt idx="0">
                  <c:v>0.39175257731958762</c:v>
                </c:pt>
                <c:pt idx="1">
                  <c:v>0.20216606498194944</c:v>
                </c:pt>
                <c:pt idx="2">
                  <c:v>0.100990099009901</c:v>
                </c:pt>
                <c:pt idx="3">
                  <c:v>0.10204081632653061</c:v>
                </c:pt>
                <c:pt idx="4">
                  <c:v>0.15942028985507245</c:v>
                </c:pt>
                <c:pt idx="5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A-4ABE-92AC-BF8F1CE53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59015"/>
        <c:axId val="84156935"/>
      </c:barChart>
      <c:catAx>
        <c:axId val="8925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6935"/>
        <c:crosses val="autoZero"/>
        <c:auto val="1"/>
        <c:lblAlgn val="ctr"/>
        <c:lblOffset val="100"/>
        <c:noMultiLvlLbl val="0"/>
      </c:catAx>
      <c:valAx>
        <c:axId val="84156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HR_Analysis!$L$13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HR_Analysis!$K$14:$K$23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Total</c:v>
                </c:pt>
              </c:strCache>
            </c:strRef>
          </c:cat>
          <c:val>
            <c:numRef>
              <c:f>HR_Analysis!$L$14:$L$23</c:f>
              <c:numCache>
                <c:formatCode>General</c:formatCode>
                <c:ptCount val="10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  <c:pt idx="9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8-4165-B4C8-D231DF932932}"/>
            </c:ext>
          </c:extLst>
        </c:ser>
        <c:ser>
          <c:idx val="1"/>
          <c:order val="1"/>
          <c:tx>
            <c:strRef>
              <c:f>HR_Analysis!$M$13</c:f>
              <c:strCache>
                <c:ptCount val="1"/>
                <c:pt idx="0">
                  <c:v>Employees 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HR_Analysis!$K$14:$K$23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Total</c:v>
                </c:pt>
              </c:strCache>
            </c:strRef>
          </c:cat>
          <c:val>
            <c:numRef>
              <c:f>HR_Analysis!$M$14:$M$23</c:f>
              <c:numCache>
                <c:formatCode>General</c:formatCode>
                <c:ptCount val="10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  <c:pt idx="9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8-4165-B4C8-D231DF932932}"/>
            </c:ext>
          </c:extLst>
        </c:ser>
        <c:ser>
          <c:idx val="2"/>
          <c:order val="2"/>
          <c:tx>
            <c:strRef>
              <c:f>HR_Analysis!$N$13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HR_Analysis!$K$14:$K$23</c:f>
              <c:strCache>
                <c:ptCount val="10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  <c:pt idx="9">
                  <c:v>Total</c:v>
                </c:pt>
              </c:strCache>
            </c:strRef>
          </c:cat>
          <c:val>
            <c:numRef>
              <c:f>HR_Analysis!$N$14:$N$23</c:f>
              <c:numCache>
                <c:formatCode>0.00%</c:formatCode>
                <c:ptCount val="10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  <c:pt idx="9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8-4165-B4C8-D231DF932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1471623"/>
        <c:axId val="1311473671"/>
      </c:barChart>
      <c:catAx>
        <c:axId val="1311471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73671"/>
        <c:crosses val="autoZero"/>
        <c:auto val="1"/>
        <c:lblAlgn val="ctr"/>
        <c:lblOffset val="100"/>
        <c:noMultiLvlLbl val="0"/>
      </c:catAx>
      <c:valAx>
        <c:axId val="1311473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71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Rate: Overtime vs No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HR_Analysis!$D$29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HR_Analysis!$E$28:$G$28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 Rate</c:v>
                </c:pt>
              </c:strCache>
            </c:strRef>
          </c:cat>
          <c:val>
            <c:numRef>
              <c:f>HR_Analysis!$E$29:$G$29</c:f>
              <c:numCache>
                <c:formatCode>General</c:formatCode>
                <c:ptCount val="3"/>
                <c:pt idx="0">
                  <c:v>416</c:v>
                </c:pt>
                <c:pt idx="1">
                  <c:v>127</c:v>
                </c:pt>
                <c:pt idx="2" formatCode="0.00%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8-413C-9D12-EF3CACB2F779}"/>
            </c:ext>
          </c:extLst>
        </c:ser>
        <c:ser>
          <c:idx val="1"/>
          <c:order val="1"/>
          <c:tx>
            <c:strRef>
              <c:f>HR_Analysis!$D$30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HR_Analysis!$E$28:$G$28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 Rate</c:v>
                </c:pt>
              </c:strCache>
            </c:strRef>
          </c:cat>
          <c:val>
            <c:numRef>
              <c:f>HR_Analysis!$E$30:$G$30</c:f>
              <c:numCache>
                <c:formatCode>General</c:formatCode>
                <c:ptCount val="3"/>
                <c:pt idx="0">
                  <c:v>1054</c:v>
                </c:pt>
                <c:pt idx="1">
                  <c:v>110</c:v>
                </c:pt>
                <c:pt idx="2" formatCode="0.00%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78-413C-9D12-EF3CACB2F779}"/>
            </c:ext>
          </c:extLst>
        </c:ser>
        <c:ser>
          <c:idx val="2"/>
          <c:order val="2"/>
          <c:tx>
            <c:strRef>
              <c:f>HR_Analysis!$D$31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HR_Analysis!$E$28:$G$28</c:f>
              <c:strCache>
                <c:ptCount val="3"/>
                <c:pt idx="0">
                  <c:v>Employee count</c:v>
                </c:pt>
                <c:pt idx="1">
                  <c:v>Employee Left</c:v>
                </c:pt>
                <c:pt idx="2">
                  <c:v>Attrition Rate</c:v>
                </c:pt>
              </c:strCache>
            </c:strRef>
          </c:cat>
          <c:val>
            <c:numRef>
              <c:f>HR_Analysis!$E$31:$G$31</c:f>
              <c:numCache>
                <c:formatCode>General</c:formatCode>
                <c:ptCount val="3"/>
                <c:pt idx="0">
                  <c:v>1470</c:v>
                </c:pt>
                <c:pt idx="1">
                  <c:v>237</c:v>
                </c:pt>
                <c:pt idx="2" formatCode="0.00%">
                  <c:v>0.16122448979591836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78-413C-9D12-EF3CACB2F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92839"/>
        <c:axId val="135994887"/>
      </c:barChart>
      <c:catAx>
        <c:axId val="13599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4887"/>
        <c:crosses val="autoZero"/>
        <c:auto val="1"/>
        <c:lblAlgn val="ctr"/>
        <c:lblOffset val="100"/>
        <c:noMultiLvlLbl val="0"/>
      </c:catAx>
      <c:valAx>
        <c:axId val="135994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92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161925</xdr:rowOff>
    </xdr:from>
    <xdr:to>
      <xdr:col>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677ED-69C1-4A68-ADE8-829276D59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12</xdr:row>
      <xdr:rowOff>0</xdr:rowOff>
    </xdr:from>
    <xdr:to>
      <xdr:col>16</xdr:col>
      <xdr:colOff>590550</xdr:colOff>
      <xdr:row>26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F49928-4918-4ADA-8C02-28910B4E7D55}"/>
            </a:ext>
            <a:ext uri="{147F2762-F138-4A5C-976F-8EAC2B608ADB}">
              <a16:predDERef xmlns:a16="http://schemas.microsoft.com/office/drawing/2014/main" pred="{05F677ED-69C1-4A68-ADE8-829276D59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9525</xdr:rowOff>
    </xdr:from>
    <xdr:to>
      <xdr:col>7</xdr:col>
      <xdr:colOff>600075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8FBF35-8DFC-4764-8844-A5B6B6AB6CC3}"/>
            </a:ext>
            <a:ext uri="{147F2762-F138-4A5C-976F-8EAC2B608ADB}">
              <a16:predDERef xmlns:a16="http://schemas.microsoft.com/office/drawing/2014/main" pred="{57F49928-4918-4ADA-8C02-28910B4E7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600075</xdr:colOff>
      <xdr:row>27</xdr:row>
      <xdr:rowOff>171450</xdr:rowOff>
    </xdr:from>
    <xdr:to>
      <xdr:col>16</xdr:col>
      <xdr:colOff>600075</xdr:colOff>
      <xdr:row>40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61DFFB-1146-4AFC-A297-21E08089913D}"/>
            </a:ext>
            <a:ext uri="{147F2762-F138-4A5C-976F-8EAC2B608ADB}">
              <a16:predDERef xmlns:a16="http://schemas.microsoft.com/office/drawing/2014/main" pred="{978FBF35-8DFC-4764-8844-A5B6B6AB6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7115C3-8034-4979-9B03-CB01CC3049C4}" name="HR_Data" displayName="HR_Data" ref="A1:AI1471" totalsRowShown="0">
  <autoFilter ref="A1:AI1471" xr:uid="{8C7115C3-8034-4979-9B03-CB01CC3049C4}"/>
  <tableColumns count="35">
    <tableColumn id="1" xr3:uid="{18D29EE3-621C-4828-80D3-95E8C3D285AA}" name="Age"/>
    <tableColumn id="2" xr3:uid="{6A3E5660-0D4E-4C59-967D-D52DF9758B76}" name="Attrition"/>
    <tableColumn id="3" xr3:uid="{7502ED18-8AF7-4C81-B0BB-F243588008D7}" name="BusinessTravel"/>
    <tableColumn id="4" xr3:uid="{76BD590A-1E84-42B1-97F0-0EB8110D4B55}" name="DailyRate"/>
    <tableColumn id="5" xr3:uid="{5043E212-3752-4F27-AEBA-A051C00F1D1D}" name="Department"/>
    <tableColumn id="6" xr3:uid="{4526C83E-337B-484C-ABFF-B3AE598D10C5}" name="DistanceFromHome"/>
    <tableColumn id="7" xr3:uid="{4A39A5D1-DADC-4388-BE74-A9D9DD735DE9}" name="Education"/>
    <tableColumn id="8" xr3:uid="{314D554A-A704-4DE4-B6C3-08EE58720677}" name="EducationField"/>
    <tableColumn id="9" xr3:uid="{0CE6B2A7-44F0-4865-B71F-64A17C8D1A70}" name="EmployeeCount"/>
    <tableColumn id="10" xr3:uid="{5923AB92-D783-485F-B45F-F53DE6D97DA9}" name="EmployeeNumber"/>
    <tableColumn id="11" xr3:uid="{DFCE7715-4BEF-4FFF-B9BA-2E1908B3A196}" name="EnvironmentSatisfaction"/>
    <tableColumn id="12" xr3:uid="{B28A291E-D79F-40C4-AFDD-396D69F8955A}" name="Gender"/>
    <tableColumn id="13" xr3:uid="{916C317A-D613-43E5-9316-151D2233E5F3}" name="HourlyRate"/>
    <tableColumn id="14" xr3:uid="{F664BFA8-02A5-411D-98ED-001A08C4CD50}" name="JobInvolvement"/>
    <tableColumn id="15" xr3:uid="{0CCA779C-7916-473E-92E8-85F6B15EB78C}" name="JobLevel"/>
    <tableColumn id="16" xr3:uid="{3B07A705-AB5B-4EB7-B93F-5A289C63129D}" name="JobRole"/>
    <tableColumn id="17" xr3:uid="{A9638E5D-25B9-47A3-932E-EA1397E0B94E}" name="JobSatisfaction"/>
    <tableColumn id="18" xr3:uid="{9E2E10E1-4A4E-45C2-B06F-4DBB7DC5299F}" name="MaritalStatus"/>
    <tableColumn id="19" xr3:uid="{862E3AD7-1A27-4864-BC33-E4184569BED0}" name="MonthlyIncome"/>
    <tableColumn id="20" xr3:uid="{C02C641F-3537-4599-B479-75EC16D19A59}" name="MonthlyRate"/>
    <tableColumn id="21" xr3:uid="{C299AE1A-58CF-4A9D-B2E5-FC89D6C27E34}" name="NumCompaniesWorked"/>
    <tableColumn id="22" xr3:uid="{FBBC3245-4BD4-4B9F-8356-620B40D02FD8}" name="Over18"/>
    <tableColumn id="23" xr3:uid="{315DCADC-7877-4F23-96A1-108B404A4098}" name="OverTime"/>
    <tableColumn id="24" xr3:uid="{C0BE8390-2915-4B14-BA30-8F1F72D5E59C}" name="PercentSalaryHike"/>
    <tableColumn id="25" xr3:uid="{A38EA27F-21DC-4F84-B763-EB1899F3CB0A}" name="PerformanceRating"/>
    <tableColumn id="26" xr3:uid="{4BAB2DAE-4204-4244-A4F9-4B9B5A9E9BA4}" name="RelationshipSatisfaction"/>
    <tableColumn id="27" xr3:uid="{B086CB28-E2CA-4AB6-8074-109450D45249}" name="StandardHours"/>
    <tableColumn id="28" xr3:uid="{8A924A1F-88AD-4E6D-A434-777BD2703444}" name="StockOptionLevel"/>
    <tableColumn id="29" xr3:uid="{7FA45A0B-81CD-4EFF-89D9-B589A083DAE1}" name="TotalWorkingYears"/>
    <tableColumn id="30" xr3:uid="{855AAD0E-24BB-4313-8288-4F44BA2C5709}" name="TrainingTimesLastYear"/>
    <tableColumn id="31" xr3:uid="{7E4DD695-B137-43E8-958F-6CBABE763C53}" name="WorkLifeBalance"/>
    <tableColumn id="32" xr3:uid="{B3BA15DE-620C-46BA-B015-EC9AD37F8D7B}" name="YearsAtCompany"/>
    <tableColumn id="33" xr3:uid="{CE874820-5179-4912-B122-9F53F179388A}" name="YearsInCurrentRole"/>
    <tableColumn id="34" xr3:uid="{D0080A6D-B2A7-47E3-9422-ED10632AAEA6}" name="YearsSinceLastPromotion"/>
    <tableColumn id="35" xr3:uid="{5BDF65BB-EE0B-4FB8-BBCC-195DE6F5172E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26E5-BB98-4A19-9474-1F5046901933}">
  <dimension ref="A1:AI1471"/>
  <sheetViews>
    <sheetView topLeftCell="J1046" workbookViewId="0">
      <selection activeCell="P1049" sqref="P1049"/>
    </sheetView>
  </sheetViews>
  <sheetFormatPr defaultRowHeight="15"/>
  <cols>
    <col min="2" max="2" width="11.140625" bestFit="1" customWidth="1"/>
    <col min="3" max="3" width="17.5703125" bestFit="1" customWidth="1"/>
    <col min="4" max="4" width="12" bestFit="1" customWidth="1"/>
    <col min="5" max="5" width="24" bestFit="1" customWidth="1"/>
    <col min="6" max="6" width="21.28515625" bestFit="1" customWidth="1"/>
    <col min="7" max="7" width="12.28515625" bestFit="1" customWidth="1"/>
    <col min="8" max="8" width="17" bestFit="1" customWidth="1"/>
    <col min="9" max="9" width="17.7109375" bestFit="1" customWidth="1"/>
    <col min="10" max="10" width="19.85546875" bestFit="1" customWidth="1"/>
    <col min="11" max="11" width="25.7109375" bestFit="1" customWidth="1"/>
    <col min="12" max="12" width="10" bestFit="1" customWidth="1"/>
    <col min="13" max="13" width="13.42578125" bestFit="1" customWidth="1"/>
    <col min="14" max="14" width="17.85546875" bestFit="1" customWidth="1"/>
    <col min="15" max="15" width="11" bestFit="1" customWidth="1"/>
    <col min="16" max="16" width="25.140625" bestFit="1" customWidth="1"/>
    <col min="17" max="17" width="17" bestFit="1" customWidth="1"/>
    <col min="18" max="18" width="15.7109375" bestFit="1" customWidth="1"/>
    <col min="19" max="19" width="17.7109375" bestFit="1" customWidth="1"/>
    <col min="20" max="20" width="15.140625" bestFit="1" customWidth="1"/>
    <col min="21" max="21" width="25.140625" bestFit="1" customWidth="1"/>
    <col min="22" max="22" width="9.85546875" bestFit="1" customWidth="1"/>
    <col min="23" max="23" width="12.140625" bestFit="1" customWidth="1"/>
    <col min="24" max="24" width="20" bestFit="1" customWidth="1"/>
    <col min="25" max="25" width="20.85546875" bestFit="1" customWidth="1"/>
    <col min="26" max="26" width="25.42578125" bestFit="1" customWidth="1"/>
    <col min="27" max="27" width="16.85546875" bestFit="1" customWidth="1"/>
    <col min="28" max="28" width="19.140625" bestFit="1" customWidth="1"/>
    <col min="29" max="29" width="20.7109375" bestFit="1" customWidth="1"/>
    <col min="30" max="30" width="24" bestFit="1" customWidth="1"/>
    <col min="31" max="31" width="18.5703125" bestFit="1" customWidth="1"/>
    <col min="32" max="32" width="18.85546875" bestFit="1" customWidth="1"/>
    <col min="33" max="33" width="21" bestFit="1" customWidth="1"/>
    <col min="34" max="34" width="26.42578125" bestFit="1" customWidth="1"/>
    <col min="35" max="35" width="24.855468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8CC2-8482-4BD1-87BB-97A18A4F176D}">
  <dimension ref="A1:N31"/>
  <sheetViews>
    <sheetView workbookViewId="0">
      <selection activeCell="B8" sqref="B8"/>
    </sheetView>
  </sheetViews>
  <sheetFormatPr defaultRowHeight="15"/>
  <cols>
    <col min="1" max="1" width="28" customWidth="1"/>
    <col min="2" max="2" width="9.7109375" bestFit="1" customWidth="1"/>
    <col min="4" max="4" width="13.7109375" customWidth="1"/>
    <col min="5" max="5" width="18.28515625" customWidth="1"/>
    <col min="6" max="6" width="14" customWidth="1"/>
    <col min="7" max="7" width="16.42578125" customWidth="1"/>
    <col min="8" max="8" width="12.42578125" customWidth="1"/>
    <col min="11" max="11" width="25.42578125" customWidth="1"/>
    <col min="12" max="12" width="17.42578125" customWidth="1"/>
    <col min="13" max="13" width="15.5703125" customWidth="1"/>
    <col min="14" max="14" width="13" customWidth="1"/>
  </cols>
  <sheetData>
    <row r="1" spans="1:14">
      <c r="A1" t="s">
        <v>62</v>
      </c>
    </row>
    <row r="3" spans="1:14">
      <c r="D3" s="13" t="s">
        <v>63</v>
      </c>
      <c r="E3" s="13"/>
      <c r="F3" s="13"/>
      <c r="G3" s="13"/>
      <c r="H3" s="13"/>
      <c r="K3" s="13" t="s">
        <v>64</v>
      </c>
      <c r="L3" s="13"/>
      <c r="M3" s="13"/>
      <c r="N3" s="13"/>
    </row>
    <row r="5" spans="1:14">
      <c r="A5" s="1" t="s">
        <v>65</v>
      </c>
      <c r="B5" s="1">
        <f>COUNTA(HR_Data[EmployeeNumber])</f>
        <v>1470</v>
      </c>
      <c r="D5" s="4" t="s">
        <v>11</v>
      </c>
      <c r="E5" s="4" t="s">
        <v>66</v>
      </c>
      <c r="F5" s="5" t="s">
        <v>67</v>
      </c>
      <c r="G5" s="5" t="s">
        <v>68</v>
      </c>
      <c r="H5" s="4" t="s">
        <v>69</v>
      </c>
      <c r="K5" s="4" t="s">
        <v>4</v>
      </c>
      <c r="L5" s="4" t="s">
        <v>70</v>
      </c>
      <c r="M5" s="5" t="s">
        <v>68</v>
      </c>
      <c r="N5" s="4" t="s">
        <v>69</v>
      </c>
    </row>
    <row r="6" spans="1:14">
      <c r="A6" s="1"/>
      <c r="B6" s="1"/>
      <c r="D6" s="14" t="s">
        <v>46</v>
      </c>
      <c r="E6" s="1">
        <f>COUNTIF(HR_Data[Gender],"Male")</f>
        <v>882</v>
      </c>
      <c r="F6" s="6">
        <f>E6/B5</f>
        <v>0.6</v>
      </c>
      <c r="G6" s="7">
        <f>COUNTIFS(HR_Data[Gender],"Male",HR_Data[Attrition],"Yes")</f>
        <v>150</v>
      </c>
      <c r="H6" s="2">
        <f>G6/E6</f>
        <v>0.17006802721088435</v>
      </c>
      <c r="K6" s="1" t="s">
        <v>61</v>
      </c>
      <c r="L6" s="1">
        <f>COUNTIF(HR_Data[Department],K6)</f>
        <v>63</v>
      </c>
      <c r="M6" s="7">
        <f>COUNTIFS(HR_Data[Department],K6,HR_Data[Attrition],"yes")</f>
        <v>12</v>
      </c>
      <c r="N6" s="2">
        <f>M6/L6</f>
        <v>0.19047619047619047</v>
      </c>
    </row>
    <row r="7" spans="1:14">
      <c r="A7" s="1" t="s">
        <v>68</v>
      </c>
      <c r="B7" s="1">
        <f>COUNTIF(HR_Data[Attrition],"yes")</f>
        <v>237</v>
      </c>
      <c r="D7" s="15" t="s">
        <v>39</v>
      </c>
      <c r="E7" s="9">
        <f>COUNTIF(HR_Data[Gender],"Female")</f>
        <v>588</v>
      </c>
      <c r="F7" s="10">
        <f>E7/B5</f>
        <v>0.4</v>
      </c>
      <c r="G7" s="11">
        <f>COUNTIFS(HR_Data[Gender],"Female",HR_Data[Attrition],"yes")</f>
        <v>87</v>
      </c>
      <c r="H7" s="12">
        <f>G7/E7</f>
        <v>0.14795918367346939</v>
      </c>
      <c r="K7" s="1" t="s">
        <v>45</v>
      </c>
      <c r="L7" s="1">
        <f>COUNTIFS(HR_Data[Department],K7)</f>
        <v>961</v>
      </c>
      <c r="M7" s="7">
        <f>COUNTIFS(HR_Data[Department],K7,HR_Data[Attrition],"yes")</f>
        <v>133</v>
      </c>
      <c r="N7" s="2">
        <f>M7/L7</f>
        <v>0.13839750260145681</v>
      </c>
    </row>
    <row r="8" spans="1:14">
      <c r="A8" s="1"/>
      <c r="B8" s="1"/>
      <c r="D8" s="4" t="s">
        <v>71</v>
      </c>
      <c r="E8" s="1">
        <f>SUM(E6:E7)</f>
        <v>1470</v>
      </c>
      <c r="F8" s="2">
        <f t="shared" ref="F8:H8" si="0">SUM(F6:F7)</f>
        <v>1</v>
      </c>
      <c r="G8" s="1">
        <f t="shared" si="0"/>
        <v>237</v>
      </c>
      <c r="H8" s="2">
        <f>G8/E8</f>
        <v>0.16122448979591836</v>
      </c>
      <c r="K8" s="1" t="s">
        <v>37</v>
      </c>
      <c r="L8" s="1">
        <f>COUNTIF(HR_Data[Department],K8)</f>
        <v>446</v>
      </c>
      <c r="M8" s="7">
        <f>COUNTIFS(HR_Data[Department],K8,HR_Data[Attrition],"yes")</f>
        <v>92</v>
      </c>
      <c r="N8" s="2">
        <f>M8/L8</f>
        <v>0.20627802690582961</v>
      </c>
    </row>
    <row r="9" spans="1:14">
      <c r="A9" s="1" t="s">
        <v>69</v>
      </c>
      <c r="B9" s="2">
        <f>B7/B5</f>
        <v>0.16122448979591836</v>
      </c>
    </row>
    <row r="10" spans="1:14">
      <c r="A10" s="1"/>
      <c r="B10" s="1"/>
    </row>
    <row r="11" spans="1:14">
      <c r="A11" s="1" t="s">
        <v>72</v>
      </c>
      <c r="B11" s="1">
        <f>B5-B7</f>
        <v>1233</v>
      </c>
      <c r="D11" s="13" t="s">
        <v>73</v>
      </c>
      <c r="E11" s="13"/>
      <c r="F11" s="13"/>
      <c r="G11" s="13"/>
      <c r="H11" s="13"/>
      <c r="K11" s="13" t="s">
        <v>74</v>
      </c>
      <c r="L11" s="13"/>
      <c r="M11" s="13"/>
      <c r="N11" s="13"/>
    </row>
    <row r="12" spans="1:14">
      <c r="A12" s="1"/>
      <c r="B12" s="1"/>
      <c r="K12" s="8"/>
      <c r="L12" s="8"/>
    </row>
    <row r="13" spans="1:14">
      <c r="A13" s="1" t="s">
        <v>75</v>
      </c>
      <c r="B13" s="3">
        <f>AVERAGE(HR_Data[Age])</f>
        <v>36.923809523809524</v>
      </c>
      <c r="D13" s="4" t="s">
        <v>76</v>
      </c>
      <c r="E13" s="4" t="s">
        <v>66</v>
      </c>
      <c r="F13" s="4" t="s">
        <v>77</v>
      </c>
      <c r="G13" s="4" t="s">
        <v>69</v>
      </c>
      <c r="K13" s="4" t="s">
        <v>78</v>
      </c>
      <c r="L13" s="4" t="s">
        <v>70</v>
      </c>
      <c r="M13" s="4" t="s">
        <v>68</v>
      </c>
      <c r="N13" s="4" t="s">
        <v>69</v>
      </c>
    </row>
    <row r="14" spans="1:14">
      <c r="A14" s="1"/>
      <c r="B14" s="1"/>
      <c r="D14" s="14" t="s">
        <v>79</v>
      </c>
      <c r="E14" s="1">
        <f>COUNTIF(HR_Data[Age],"&lt;25")</f>
        <v>97</v>
      </c>
      <c r="F14" s="1">
        <f>COUNTIFS(HR_Data[Age],"&lt;25",HR_Data[Attrition],"yes")</f>
        <v>38</v>
      </c>
      <c r="G14" s="2">
        <f>F14/E14</f>
        <v>0.39175257731958762</v>
      </c>
      <c r="K14" s="1" t="s">
        <v>54</v>
      </c>
      <c r="L14" s="1">
        <f>COUNTIF(HR_Data[JobRole],K14)</f>
        <v>131</v>
      </c>
      <c r="M14" s="1">
        <f>COUNTIFS(HR_Data[JobRole],K14,HR_Data[Attrition],"yes")</f>
        <v>9</v>
      </c>
      <c r="N14" s="2">
        <f>M14/L14</f>
        <v>6.8702290076335881E-2</v>
      </c>
    </row>
    <row r="15" spans="1:14">
      <c r="A15" s="1" t="s">
        <v>80</v>
      </c>
      <c r="B15" s="3">
        <f>AVERAGE(HR_Data[MonthlyIncome])</f>
        <v>6502.931292517007</v>
      </c>
      <c r="D15" s="14" t="s">
        <v>81</v>
      </c>
      <c r="E15" s="1">
        <f>COUNTIFS(HR_Data[Age],"&gt;=25",HR_Data[Age],"&lt;35")</f>
        <v>554</v>
      </c>
      <c r="F15" s="1">
        <f>COUNTIFS(HR_Data[Age],"&gt;=25",HR_Data[Age],"&lt;35",HR_Data[Attrition],"yes")</f>
        <v>112</v>
      </c>
      <c r="G15" s="2">
        <f>F15/E15</f>
        <v>0.20216606498194944</v>
      </c>
      <c r="K15" s="1" t="s">
        <v>61</v>
      </c>
      <c r="L15" s="1">
        <f>COUNTIF(HR_Data[JobRole],K15)</f>
        <v>52</v>
      </c>
      <c r="M15" s="1">
        <f>COUNTIFS(HR_Data[JobRole],K15,HR_Data[Attrition],"yes")</f>
        <v>12</v>
      </c>
      <c r="N15" s="2">
        <f t="shared" ref="N15:N22" si="1">M15/L15</f>
        <v>0.23076923076923078</v>
      </c>
    </row>
    <row r="16" spans="1:14">
      <c r="D16" s="14" t="s">
        <v>82</v>
      </c>
      <c r="E16" s="1">
        <f>COUNTIFS(HR_Data[Age],"&gt;=35",HR_Data[Age],"&lt;45")</f>
        <v>505</v>
      </c>
      <c r="F16" s="1">
        <f>COUNTIFS(HR_Data[Age],"&gt;=35",HR_Data[Age],"&lt;45",HR_Data[Attrition],"yes")</f>
        <v>51</v>
      </c>
      <c r="G16" s="2">
        <f>F16/E16</f>
        <v>0.100990099009901</v>
      </c>
      <c r="K16" s="1" t="s">
        <v>50</v>
      </c>
      <c r="L16" s="1">
        <f>COUNTIF(HR_Data[JobRole],K16)</f>
        <v>259</v>
      </c>
      <c r="M16" s="1">
        <f>COUNTIFS(HR_Data[JobRole],K16,HR_Data[Attrition],"yes")</f>
        <v>62</v>
      </c>
      <c r="N16" s="2">
        <f t="shared" si="1"/>
        <v>0.23938223938223938</v>
      </c>
    </row>
    <row r="17" spans="4:14">
      <c r="D17" s="14" t="s">
        <v>83</v>
      </c>
      <c r="E17" s="1">
        <f>COUNTIFS(HR_Data[Age],"&gt;=45",HR_Data[Age],"&lt;55")</f>
        <v>245</v>
      </c>
      <c r="F17" s="1">
        <f>COUNTIFS(HR_Data[Age],"&gt;=45",HR_Data[Age],"&lt;55",HR_Data[Attrition],"yes")</f>
        <v>25</v>
      </c>
      <c r="G17" s="2">
        <f>F17/E17</f>
        <v>0.10204081632653061</v>
      </c>
      <c r="K17" s="1" t="s">
        <v>56</v>
      </c>
      <c r="L17" s="1">
        <f>COUNTIF(HR_Data[JobRole],K17)</f>
        <v>102</v>
      </c>
      <c r="M17" s="1">
        <f>COUNTIFS(HR_Data[JobRole],K17,HR_Data[Attrition],"yes")</f>
        <v>5</v>
      </c>
      <c r="N17" s="2">
        <f t="shared" si="1"/>
        <v>4.9019607843137254E-2</v>
      </c>
    </row>
    <row r="18" spans="4:14">
      <c r="D18" s="14" t="s">
        <v>84</v>
      </c>
      <c r="E18" s="1">
        <f>COUNTIF(HR_Data[Age],"&gt;=55")</f>
        <v>69</v>
      </c>
      <c r="F18" s="1">
        <f>COUNTIFS(HR_Data[Age],"&gt;=55", HR_Data[Attrition],"yes")</f>
        <v>11</v>
      </c>
      <c r="G18" s="2">
        <f>F18/E18</f>
        <v>0.15942028985507245</v>
      </c>
      <c r="K18" s="1" t="s">
        <v>53</v>
      </c>
      <c r="L18" s="1">
        <f>COUNTIF(HR_Data[JobRole],K18)</f>
        <v>145</v>
      </c>
      <c r="M18" s="1">
        <f>COUNTIFS(HR_Data[JobRole],K18,HR_Data[Attrition],"yes")</f>
        <v>10</v>
      </c>
      <c r="N18" s="2">
        <f t="shared" si="1"/>
        <v>6.8965517241379309E-2</v>
      </c>
    </row>
    <row r="19" spans="4:14">
      <c r="D19" s="4" t="s">
        <v>71</v>
      </c>
      <c r="E19" s="1">
        <f>SUM(E14:E18)</f>
        <v>1470</v>
      </c>
      <c r="F19" s="1">
        <f>SUM(F14:F18)</f>
        <v>237</v>
      </c>
      <c r="G19" s="2">
        <f>F19/E19</f>
        <v>0.16122448979591836</v>
      </c>
      <c r="K19" s="1" t="s">
        <v>58</v>
      </c>
      <c r="L19" s="1">
        <f>COUNTIF(HR_Data[JobRole],K19)</f>
        <v>80</v>
      </c>
      <c r="M19" s="1">
        <f>COUNTIFS(HR_Data[JobRole],K19,HR_Data[Attrition],"yes")</f>
        <v>2</v>
      </c>
      <c r="N19" s="2">
        <f t="shared" si="1"/>
        <v>2.5000000000000001E-2</v>
      </c>
    </row>
    <row r="20" spans="4:14">
      <c r="K20" s="1" t="s">
        <v>47</v>
      </c>
      <c r="L20" s="1">
        <f>COUNTIF(HR_Data[JobRole],K20)</f>
        <v>292</v>
      </c>
      <c r="M20" s="1">
        <f>COUNTIFS(HR_Data[JobRole],K20,HR_Data[Attrition],"yes")</f>
        <v>47</v>
      </c>
      <c r="N20" s="2">
        <f t="shared" si="1"/>
        <v>0.16095890410958905</v>
      </c>
    </row>
    <row r="21" spans="4:14">
      <c r="K21" s="1" t="s">
        <v>40</v>
      </c>
      <c r="L21" s="1">
        <f>COUNTIF(HR_Data[JobRole],K21)</f>
        <v>326</v>
      </c>
      <c r="M21" s="1">
        <f>COUNTIFS(HR_Data[JobRole],K21,HR_Data[Attrition],"yes")</f>
        <v>57</v>
      </c>
      <c r="N21" s="2">
        <f t="shared" si="1"/>
        <v>0.17484662576687116</v>
      </c>
    </row>
    <row r="22" spans="4:14">
      <c r="K22" s="1" t="s">
        <v>57</v>
      </c>
      <c r="L22" s="1">
        <f>COUNTIF(HR_Data[JobRole],K22)</f>
        <v>83</v>
      </c>
      <c r="M22" s="1">
        <f>COUNTIFS(HR_Data[JobRole],K22,HR_Data[Attrition],"yes")</f>
        <v>33</v>
      </c>
      <c r="N22" s="2">
        <f t="shared" si="1"/>
        <v>0.39759036144578314</v>
      </c>
    </row>
    <row r="23" spans="4:14">
      <c r="K23" s="4" t="s">
        <v>71</v>
      </c>
      <c r="L23" s="1">
        <f>SUM(L14:L22)</f>
        <v>1470</v>
      </c>
      <c r="M23" s="1">
        <f>SUM(M14:M22)</f>
        <v>237</v>
      </c>
      <c r="N23" s="2">
        <f>M23/L23</f>
        <v>0.16122448979591836</v>
      </c>
    </row>
    <row r="26" spans="4:14">
      <c r="D26" s="13" t="s">
        <v>85</v>
      </c>
      <c r="E26" s="13"/>
      <c r="F26" s="13"/>
      <c r="G26" s="13"/>
      <c r="H26" s="13"/>
    </row>
    <row r="28" spans="4:14">
      <c r="D28" s="4" t="s">
        <v>86</v>
      </c>
      <c r="E28" s="4" t="s">
        <v>66</v>
      </c>
      <c r="F28" s="4" t="s">
        <v>77</v>
      </c>
      <c r="G28" s="4" t="s">
        <v>69</v>
      </c>
    </row>
    <row r="29" spans="4:14">
      <c r="D29" s="1" t="s">
        <v>35</v>
      </c>
      <c r="E29" s="1">
        <f>COUNTIF(HR_Data[OverTime],D29)</f>
        <v>416</v>
      </c>
      <c r="F29" s="1">
        <f>COUNTIFS(HR_Data[OverTime],D29,HR_Data[Attrition],"yes")</f>
        <v>127</v>
      </c>
      <c r="G29" s="2">
        <f>F29/E29</f>
        <v>0.30528846153846156</v>
      </c>
    </row>
    <row r="30" spans="4:14">
      <c r="D30" s="1" t="s">
        <v>43</v>
      </c>
      <c r="E30" s="1">
        <f>COUNTIF(HR_Data[OverTime],D30)</f>
        <v>1054</v>
      </c>
      <c r="F30" s="1">
        <f>COUNTIFS(HR_Data[OverTime],D30,HR_Data[Attrition],"yes")</f>
        <v>110</v>
      </c>
      <c r="G30" s="2">
        <f t="shared" ref="G30:G31" si="2">F30/E30</f>
        <v>0.10436432637571158</v>
      </c>
    </row>
    <row r="31" spans="4:14">
      <c r="D31" s="1" t="s">
        <v>71</v>
      </c>
      <c r="E31" s="1">
        <f>SUM(E29:E30)</f>
        <v>1470</v>
      </c>
      <c r="F31" s="1">
        <f>SUM(F29:F30)</f>
        <v>237</v>
      </c>
      <c r="G31" s="2">
        <f t="shared" si="2"/>
        <v>0.16122448979591836</v>
      </c>
    </row>
  </sheetData>
  <mergeCells count="5">
    <mergeCell ref="D3:H3"/>
    <mergeCell ref="K3:N3"/>
    <mergeCell ref="D11:H11"/>
    <mergeCell ref="K11:N11"/>
    <mergeCell ref="D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260C-A300-43F1-8EDF-08F250DAD47C}">
  <dimension ref="A1:V11"/>
  <sheetViews>
    <sheetView tabSelected="1" workbookViewId="0">
      <selection activeCell="AE5" sqref="AE5"/>
    </sheetView>
  </sheetViews>
  <sheetFormatPr defaultRowHeight="15"/>
  <sheetData>
    <row r="1" spans="1:22" ht="31.5">
      <c r="A1" s="24" t="s">
        <v>62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6"/>
    </row>
    <row r="2" spans="1:22" ht="27.75" customHeight="1">
      <c r="A2" s="27" t="s">
        <v>87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9"/>
    </row>
    <row r="5" spans="1:22" ht="23.25">
      <c r="B5" s="32" t="s">
        <v>65</v>
      </c>
      <c r="C5" s="33"/>
      <c r="D5" s="33"/>
      <c r="E5" s="33"/>
      <c r="F5" s="33"/>
      <c r="G5" s="33"/>
      <c r="H5" s="33"/>
      <c r="I5" s="33"/>
      <c r="J5" s="34"/>
      <c r="L5" s="38" t="s">
        <v>72</v>
      </c>
      <c r="M5" s="39"/>
      <c r="N5" s="39"/>
      <c r="O5" s="39"/>
      <c r="P5" s="39"/>
      <c r="Q5" s="39"/>
      <c r="R5" s="39"/>
      <c r="S5" s="40"/>
      <c r="V5" s="16"/>
    </row>
    <row r="6" spans="1:22" ht="23.25" customHeight="1">
      <c r="B6" s="18">
        <f>HR_Analysis!B5</f>
        <v>1470</v>
      </c>
      <c r="C6" s="19"/>
      <c r="D6" s="19"/>
      <c r="E6" s="19"/>
      <c r="F6" s="19"/>
      <c r="G6" s="19"/>
      <c r="H6" s="19"/>
      <c r="I6" s="19"/>
      <c r="J6" s="56"/>
      <c r="L6" s="20">
        <f>HR_Analysis!L8</f>
        <v>446</v>
      </c>
      <c r="M6" s="21"/>
      <c r="N6" s="21"/>
      <c r="O6" s="21"/>
      <c r="P6" s="21"/>
      <c r="Q6" s="21"/>
      <c r="R6" s="21"/>
      <c r="S6" s="57"/>
    </row>
    <row r="7" spans="1:22">
      <c r="B7" s="35"/>
      <c r="C7" s="36"/>
      <c r="D7" s="36"/>
      <c r="E7" s="36"/>
      <c r="F7" s="36"/>
      <c r="G7" s="36"/>
      <c r="H7" s="36"/>
      <c r="I7" s="36"/>
      <c r="J7" s="37"/>
      <c r="L7" s="41"/>
      <c r="M7" s="42"/>
      <c r="N7" s="42"/>
      <c r="O7" s="42"/>
      <c r="P7" s="42"/>
      <c r="Q7" s="42"/>
      <c r="R7" s="42"/>
      <c r="S7" s="43"/>
    </row>
    <row r="8" spans="1:22">
      <c r="B8" s="17"/>
      <c r="C8" s="17"/>
      <c r="D8" s="17"/>
    </row>
    <row r="9" spans="1:22" ht="23.25">
      <c r="B9" s="50" t="s">
        <v>68</v>
      </c>
      <c r="C9" s="51"/>
      <c r="D9" s="51"/>
      <c r="E9" s="51"/>
      <c r="F9" s="51"/>
      <c r="G9" s="51"/>
      <c r="H9" s="51"/>
      <c r="I9" s="51"/>
      <c r="J9" s="52"/>
      <c r="L9" s="44" t="s">
        <v>69</v>
      </c>
      <c r="M9" s="45"/>
      <c r="N9" s="45"/>
      <c r="O9" s="45"/>
      <c r="P9" s="45"/>
      <c r="Q9" s="45"/>
      <c r="R9" s="45"/>
      <c r="S9" s="46"/>
    </row>
    <row r="10" spans="1:22" ht="23.25" customHeight="1">
      <c r="B10" s="22">
        <f>HR_Analysis!B7</f>
        <v>237</v>
      </c>
      <c r="C10" s="23"/>
      <c r="D10" s="23"/>
      <c r="E10" s="23"/>
      <c r="F10" s="23"/>
      <c r="G10" s="23"/>
      <c r="H10" s="23"/>
      <c r="I10" s="23"/>
      <c r="J10" s="58"/>
      <c r="L10" s="30">
        <f>HR_Analysis!B9</f>
        <v>0.16122448979591836</v>
      </c>
      <c r="M10" s="31"/>
      <c r="N10" s="31"/>
      <c r="O10" s="31"/>
      <c r="P10" s="31"/>
      <c r="Q10" s="31"/>
      <c r="R10" s="31"/>
      <c r="S10" s="59"/>
    </row>
    <row r="11" spans="1:22">
      <c r="B11" s="53"/>
      <c r="C11" s="54"/>
      <c r="D11" s="54"/>
      <c r="E11" s="54"/>
      <c r="F11" s="54"/>
      <c r="G11" s="54"/>
      <c r="H11" s="54"/>
      <c r="I11" s="54"/>
      <c r="J11" s="55"/>
      <c r="L11" s="47"/>
      <c r="M11" s="48"/>
      <c r="N11" s="48"/>
      <c r="O11" s="48"/>
      <c r="P11" s="48"/>
      <c r="Q11" s="48"/>
      <c r="R11" s="48"/>
      <c r="S11" s="49"/>
    </row>
  </sheetData>
  <mergeCells count="10">
    <mergeCell ref="B6:J7"/>
    <mergeCell ref="L6:S7"/>
    <mergeCell ref="B10:J11"/>
    <mergeCell ref="L10:S11"/>
    <mergeCell ref="B9:J9"/>
    <mergeCell ref="L9:S9"/>
    <mergeCell ref="B5:J5"/>
    <mergeCell ref="L5:S5"/>
    <mergeCell ref="A2:T2"/>
    <mergeCell ref="A1: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2026-10-23T05:27:45Z</dcterms:created>
  <dcterms:modified xsi:type="dcterms:W3CDTF">2026-10-23T08:39:17Z</dcterms:modified>
  <cp:category/>
  <cp:contentStatus/>
</cp:coreProperties>
</file>